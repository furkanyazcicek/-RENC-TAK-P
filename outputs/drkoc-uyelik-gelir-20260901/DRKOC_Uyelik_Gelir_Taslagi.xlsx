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b3325698f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ef2d6e0fd0994a68"/>
    <x:sheet xmlns:r="http://schemas.openxmlformats.org/officeDocument/2006/relationships" name="Varsayımlar" sheetId="2" r:id="R2359931c337c408a"/>
    <x:sheet xmlns:r="http://schemas.openxmlformats.org/officeDocument/2006/relationships" name="Gelir Tablosu" sheetId="3" r:id="R00be15d0b5bb4074"/>
    <x:sheet xmlns:r="http://schemas.openxmlformats.org/officeDocument/2006/relationships" name="Kontroller" sheetId="4" r:id="Rb35251d1b12f4448"/>
  </x:sheets>
</x:workbook>
</file>

<file path=xl/comments1.xml><?xml version="1.0" encoding="utf-8"?>
<x:comments xmlns:x="http://schemas.openxmlformats.org/spreadsheetml/2006/main">
  <x:authors>
    <x:author>tc={98358ED2-C3C8-4416-8B49-2A0E9AD806C0}</x:author>
    <x:author>tc={498EDD9B-5B3E-4228-BD1B-B75ED9E77778}</x:author>
    <x:author>tc={ED111B70-C07F-4C7E-B9BB-2943D7C73FD3}</x:author>
    <x:author>tc={DB504A89-96F0-40D5-BDDB-AC0D91C31FCA}</x:author>
    <x:author>tc={6AF5D115-DFCF-4634-82CA-D0F5A2BC8D90}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Kaba taslak varsayım: aylık KDV dahil üyelik fiyatı. Fiyat stratejisi netleşince güncelleyin.</x:t>
        </x:r>
      </x:text>
    </x:comment>
    <x:comment ref="B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Kaba taslak varsayım. Güncel vergi ve muhasebe uygulaması için mali müşavire doğrulatın.</x:t>
        </x:r>
      </x:text>
    </x:comment>
    <x:comment ref="B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Kaba taslak varsayım: ödeme altyapısı / uygulama mağazası karışık ortalama kesinti oranı.</x:t>
        </x:r>
      </x:text>
    </x:comment>
    <x:comment ref="B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Kaba taslak varsayım: kullanıcı başına sunucu, yapay zekâ ve destek maliyeti.</x:t>
        </x:r>
      </x:text>
    </x:comment>
    <x:comment ref="B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Kaba taslak varsayım: ekip, pazarlama ve genel giderlerin aylık toplamı.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 &quot;TL&quot;;[Red](#,##0 &quot;TL&quot;);-"/>
    <x:numFmt numFmtId="201" formatCode="0.0%;[Red](0.0%);-"/>
    <x:numFmt numFmtId="202" formatCode="#,##0;[Red](#,##0);-"/>
  </x:numFmts>
  <x:fonts count="13">
    <x:font>
      <x:sz val="11"/>
      <x:name val="Carlito"/>
    </x:font>
    <x:font>
      <x:sz val="10"/>
      <x:color rgb="FF17212B"/>
      <x:name val="Aptos"/>
    </x:font>
    <x:font>
      <x:b/>
      <x:sz val="20"/>
      <x:color rgb="FFFFFFFF"/>
      <x:name val="Aptos Display"/>
    </x:font>
    <x:font>
      <x:sz val="10"/>
      <x:color rgb="FFDCE8EF"/>
      <x:name val="Aptos"/>
    </x:font>
    <x:font>
      <x:b/>
      <x:sz val="11"/>
      <x:color rgb="FFFFFFFF"/>
      <x:name val="Aptos"/>
    </x:font>
    <x:font>
      <x:b/>
      <x:sz val="10"/>
      <x:color rgb="FF17212B"/>
      <x:name val="Aptos"/>
    </x:font>
    <x:font>
      <x:b/>
      <x:sz val="10"/>
      <x:color rgb="FF0000FF"/>
      <x:name val="Aptos"/>
    </x:font>
    <x:font>
      <x:i/>
      <x:sz val="10"/>
      <x:color rgb="FF5D6B75"/>
      <x:name val="Aptos"/>
    </x:font>
    <x:font>
      <x:sz val="10"/>
      <x:color rgb="FF008000"/>
      <x:name val="Aptos"/>
    </x:font>
    <x:font>
      <x:b/>
      <x:sz val="10"/>
      <x:color rgb="FF008000"/>
      <x:name val="Aptos"/>
    </x:font>
    <x:font>
      <x:b/>
      <x:sz val="10"/>
      <x:color rgb="FF0F766E"/>
      <x:name val="Aptos"/>
    </x:font>
    <x:font>
      <x:sz val="10"/>
      <x:color rgb="FF5D6B75"/>
      <x:name val="Aptos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53D57"/>
      </x:patternFill>
    </x:fill>
    <x:fill>
      <x:patternFill patternType="solid">
        <x:fgColor rgb="FF0F766E"/>
      </x:patternFill>
    </x:fill>
    <x:fill>
      <x:patternFill patternType="solid">
        <x:fgColor rgb="FFE8EEF2"/>
      </x:patternFill>
    </x:fill>
    <x:fill>
      <x:patternFill patternType="solid">
        <x:fgColor rgb="FFFFF7D6"/>
      </x:patternFill>
    </x:fill>
    <x:fill>
      <x:patternFill patternType="solid">
        <x:fgColor rgb="FFF7FAFB"/>
      </x:patternFill>
    </x:fill>
    <x:fill>
      <x:patternFill patternType="solid">
        <x:fgColor rgb="FFDDF4EF"/>
      </x:patternFill>
    </x:fill>
  </x:fills>
  <x:borders count="5">
    <x:border/>
    <x:border>
      <x:bottom style="thin">
        <x:color rgb="FFD7E0E5"/>
      </x:bottom>
    </x:border>
    <x:border>
      <x:top style="thin">
        <x:color rgb="FFD7E0E5"/>
      </x:top>
      <x:bottom style="thin">
        <x:color rgb="FFD7E0E5"/>
      </x:bottom>
    </x:border>
    <x:border>
      <x:bottom style="medium">
        <x:color rgb="FF153D57"/>
      </x:bottom>
    </x:border>
    <x:border>
      <x:top style="thin">
        <x:color rgb="FFD7E0E5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right" vertical="center"/>
    </x:xf>
    <x:xf numFmtId="200" fontId="6" fillId="5" borderId="0" xfId="0" applyNumberFormat="1" applyFont="1" applyFill="1" applyBorder="1" applyAlignment="1">
      <x:alignment horizontal="right" vertical="center"/>
    </x:xf>
    <x:xf numFmtId="201" fontId="6" fillId="5" borderId="0" xfId="0" applyNumberFormat="1" applyFont="1" applyFill="1" applyBorder="1" applyAlignment="1">
      <x:alignment horizontal="right" vertical="center"/>
    </x:xf>
    <x:xf numFmtId="202" fontId="6" fillId="5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vertical="center"/>
    </x:xf>
    <x:xf numFmtId="200" fontId="6" fillId="5" borderId="1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/>
    </x:xf>
    <x:xf numFmtId="201" fontId="6" fillId="5" borderId="2" xfId="0" applyNumberFormat="1" applyFont="1" applyFill="1" applyBorder="1" applyAlignment="1">
      <x:alignment horizontal="right" vertical="center"/>
    </x:xf>
    <x:xf numFmtId="200" fontId="6" fillId="5" borderId="2" xfId="0" applyNumberFormat="1" applyFont="1" applyFill="1" applyBorder="1" applyAlignment="1">
      <x:alignment horizontal="right" vertical="center"/>
    </x:xf>
    <x:xf numFmtId="202" fontId="6" fillId="5" borderId="2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202" fontId="1" fillId="0" borderId="1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200" fontId="8" fillId="0" borderId="1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 applyAlignment="1">
      <x:alignment vertical="center"/>
    </x:xf>
    <x:xf numFmtId="200" fontId="8" fillId="0" borderId="4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9" fillId="0" borderId="1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2" fontId="9" fillId="0" borderId="1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b/>
        <x:color rgb="FFA12A2A"/>
      </x:font>
      <x:fill>
        <x:patternFill patternType="solid">
          <x:bgColor rgb="FFFCE3E3"/>
        </x:patternFill>
      </x:fill>
    </x:dxf>
    <x:dxf>
      <x:font>
        <x:b/>
        <x:color rgb="FF17603A"/>
      </x:font>
      <x:fill>
        <x:patternFill patternType="solid">
          <x:bgColor rgb="FFDDF3E4"/>
        </x:patternFill>
      </x:fill>
    </x:dxf>
    <x:dxf>
      <x:font>
        <x:b/>
        <x:color rgb="FFA12A2A"/>
      </x:font>
      <x:fill>
        <x:patternFill patternType="solid">
          <x:bgColor rgb="FFFCE3E3"/>
        </x:patternFill>
      </x:fill>
    </x:dxf>
    <x:dxf>
      <x:font>
        <x:b/>
        <x:color rgb="FF17603A"/>
      </x:font>
      <x:fill>
        <x:patternFill patternType="solid">
          <x:bgColor rgb="FFDDF3E4"/>
        </x:patternFill>
      </x:fill>
    </x:dxf>
    <x:dxf>
      <x:font>
        <x:b/>
        <x:color rgb="FF17603A"/>
      </x:font>
      <x:fill>
        <x:patternFill patternType="solid">
          <x:bgColor rgb="FFDDF3E4"/>
        </x:patternFill>
      </x:fill>
    </x:dxf>
    <x:dxf>
      <x:font>
        <x:b/>
        <x:color rgb="FFA12A2A"/>
      </x:font>
      <x:fill>
        <x:patternFill patternType="solid">
          <x:bgColor rgb="FFFCE3E3"/>
        </x:patternFill>
      </x:fill>
    </x:dxf>
    <x:dxf>
      <x:font>
        <x:b/>
        <x:color rgb="FF17603A"/>
      </x:font>
      <x:fill>
        <x:patternFill patternType="solid">
          <x:bgColor rgb="FFDDF3E4"/>
        </x:patternFill>
      </x:fill>
    </x:dxf>
    <x:dxf>
      <x:font>
        <x:b/>
        <x:color rgb="FFA12A2A"/>
      </x:font>
      <x:fill>
        <x:patternFill patternType="solid">
          <x:bgColor rgb="FFFC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284249700432b" /><Relationship Type="http://schemas.openxmlformats.org/officeDocument/2006/relationships/theme" Target="/xl/theme/theme1.xml" Id="Re99aa3b0fcd243f2" /><Relationship Type="http://schemas.openxmlformats.org/officeDocument/2006/relationships/sharedStrings" Target="/xl/sharedStrings.xml" Id="Re7bb0bca624a4b1e" /><Relationship Type="http://schemas.openxmlformats.org/officeDocument/2006/relationships/worksheet" Target="/xl/worksheets/sheet1.xml" Id="Ref2d6e0fd0994a68" /><Relationship Type="http://schemas.openxmlformats.org/officeDocument/2006/relationships/worksheet" Target="/xl/worksheets/sheet2.xml" Id="R2359931c337c408a" /><Relationship Type="http://schemas.openxmlformats.org/officeDocument/2006/relationships/worksheet" Target="/xl/worksheets/sheet3.xml" Id="R00be15d0b5bb4074" /><Relationship Type="http://schemas.openxmlformats.org/officeDocument/2006/relationships/worksheet" Target="/xl/worksheets/sheet4.xml" Id="Rb35251d1b12f4448" /><Relationship Type="http://schemas.microsoft.com/office/2017/10/relationships/person" Target="/xl/persons/person.xml" Id="R806f9181bb6b46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cd3aed767c4f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Üye sayısına göre aylık sonuç (TL)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Aylık net satış</c:v>
          </c:tx>
          <c:marker>
            <c:symbol val="none"/>
          </c:marker>
          <c:cat>
            <c:strRef>
              <c:f>'Özet'!$N$2:$N$11</c:f>
              <c:strCache>
                <c:ptCount val="0"/>
              </c:strCache>
            </c:strRef>
          </c:cat>
          <c:val>
            <c:numRef>
              <c:f>'Özet'!$O$2:$O$11</c:f>
              <c:numCache>
                <c:formatCode>#,##0 "TL"</c:formatCode>
                <c:ptCount val="0"/>
              </c:numCache>
            </c:numRef>
          </c:val>
          <c:smooth val="0"/>
        </c:ser>
        <c:ser>
          <c:idx val="1"/>
          <c:order val="1"/>
          <c:tx>
            <c:v>Aylık işletme sonucu</c:v>
          </c:tx>
          <c:marker>
            <c:symbol val="none"/>
          </c:marker>
          <c:cat>
            <c:strRef>
              <c:f>'Özet'!$N$2:$N$11</c:f>
              <c:strCache>
                <c:ptCount val="0"/>
              </c:strCache>
            </c:strRef>
          </c:cat>
          <c:val>
            <c:numRef>
              <c:f>'Özet'!$P$2:$P$11</c:f>
              <c:numCache>
                <c:formatCode>#,##0 "TL"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TL&quot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cd3aed767c4f76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36E48695-0892-4E29-9382-A95D3286BD7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9-01T10:12:26.05" personId="{36E48695-0892-4E29-9382-A95D3286BD7D}" id="{98358ED2-C3C8-4416-8B49-2A0E9AD806C0}">
    <xltc:text>Kaba taslak varsayım: aylık KDV dahil üyelik fiyatı. Fiyat stratejisi netleşince güncelleyin.</xltc:text>
  </xltc:threadedComment>
  <xltc:threadedComment ref="B7" dT="2026-09-01T10:12:26.053" personId="{36E48695-0892-4E29-9382-A95D3286BD7D}" id="{498EDD9B-5B3E-4228-BD1B-B75ED9E77778}">
    <xltc:text>Kaba taslak varsayım. Güncel vergi ve muhasebe uygulaması için mali müşavire doğrulatın.</xltc:text>
  </xltc:threadedComment>
  <xltc:threadedComment ref="B8" dT="2026-09-01T10:12:26.053" personId="{36E48695-0892-4E29-9382-A95D3286BD7D}" id="{ED111B70-C07F-4C7E-B9BB-2943D7C73FD3}">
    <xltc:text>Kaba taslak varsayım: ödeme altyapısı / uygulama mağazası karışık ortalama kesinti oranı.</xltc:text>
  </xltc:threadedComment>
  <xltc:threadedComment ref="B9" dT="2026-09-01T10:12:26.053" personId="{36E48695-0892-4E29-9382-A95D3286BD7D}" id="{DB504A89-96F0-40D5-BDDB-AC0D91C31FCA}">
    <xltc:text>Kaba taslak varsayım: kullanıcı başına sunucu, yapay zekâ ve destek maliyeti.</xltc:text>
  </xltc:threadedComment>
  <xltc:threadedComment ref="B10" dT="2026-09-01T10:12:26.053" personId="{36E48695-0892-4E29-9382-A95D3286BD7D}" id="{6AF5D115-DFCF-4634-82CA-D0F5A2BC8D90}">
    <xltc:text>Kaba taslak varsayım: ekip, pazarlama ve genel giderlerin aylık toplamı.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9ab21000344f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e5f0201cbd54a01" /><Relationship Type="http://schemas.openxmlformats.org/officeDocument/2006/relationships/vmlDrawing" Target="/xl/drawings/vmldrawing.vml" Id="Rdcd6f96c85c44e47" /><Relationship Type="http://schemas.microsoft.com/office/2017/10/relationships/threadedComment" Target="/xl/threadedcomments/threadedcomment.xml" Id="R996b7e3ec5d945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" hidden="0" customWidth="1"/>
    <x:col min="3" max="3" width="18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4" customHeight="1">
      <x:c r="A1" s="4" t="str">
        <x:v>DRKOÇ · Üyelik Geliri Özeti</x:v>
      </x:c>
      <x:c r="B1" s="4" t="str">
        <x:v>DRKOÇ · Üyelik Geliri Özeti</x:v>
      </x:c>
      <x:c r="C1" s="4" t="str">
        <x:v>DRKOÇ · Üyelik Geliri Özeti</x:v>
      </x:c>
      <x:c r="D1" s="4" t="str">
        <x:v>DRKOÇ · Üyelik Geliri Özeti</x:v>
      </x:c>
      <x:c r="E1" s="4" t="str">
        <x:v>DRKOÇ · Üyelik Geliri Özeti</x:v>
      </x:c>
      <x:c r="F1" s="4" t="str">
        <x:v>DRKOÇ · Üyelik Geliri Özeti</x:v>
      </x:c>
      <x:c r="G1" s="4" t="str">
        <x:v>DRKOÇ · Üyelik Geliri Özeti</x:v>
      </x:c>
      <x:c r="H1" s="4" t="str">
        <x:v>DRKOÇ · Üyelik Geliri Özeti</x:v>
      </x:c>
      <x:c r="I1" s="4" t="str">
        <x:v>DRKOÇ · Üyelik Geliri Özeti</x:v>
      </x:c>
      <x:c r="J1" s="4" t="str">
        <x:v>DRKOÇ · Üyelik Geliri Özeti</x:v>
      </x:c>
      <x:c r="K1" s="4" t="str">
        <x:v>DRKOÇ · Üyelik Geliri Özeti</x:v>
      </x:c>
      <x:c r="L1" s="4" t="str">
        <x:v>DRKOÇ · Üyelik Geliri Özeti</x:v>
      </x:c>
      <x:c r="N1" t="str">
        <x:v>Üye</x:v>
      </x:c>
      <x:c r="O1" t="str">
        <x:v>Aylık net satış</x:v>
      </x:c>
      <x:c r="P1" t="str">
        <x:v>Aylık işletme sonucu</x:v>
      </x:c>
    </x:row>
    <x:row r="2" ht="22" customHeight="1">
      <x:c r="A2" s="5" t="str">
        <x:v>Kaba taslak senaryo · 1.000–10.000 aktif ödeme yapan üye</x:v>
      </x:c>
      <x:c r="B2" s="5" t="str">
        <x:v>Kaba taslak senaryo · 1.000–10.000 aktif ödeme yapan üye</x:v>
      </x:c>
      <x:c r="C2" s="5" t="str">
        <x:v>Kaba taslak senaryo · 1.000–10.000 aktif ödeme yapan üye</x:v>
      </x:c>
      <x:c r="D2" s="5" t="str">
        <x:v>Kaba taslak senaryo · 1.000–10.000 aktif ödeme yapan üye</x:v>
      </x:c>
      <x:c r="E2" s="5" t="str">
        <x:v>Kaba taslak senaryo · 1.000–10.000 aktif ödeme yapan üye</x:v>
      </x:c>
      <x:c r="F2" s="5" t="str">
        <x:v>Kaba taslak senaryo · 1.000–10.000 aktif ödeme yapan üye</x:v>
      </x:c>
      <x:c r="G2" s="5" t="str">
        <x:v>Kaba taslak senaryo · 1.000–10.000 aktif ödeme yapan üye</x:v>
      </x:c>
      <x:c r="H2" s="5" t="str">
        <x:v>Kaba taslak senaryo · 1.000–10.000 aktif ödeme yapan üye</x:v>
      </x:c>
      <x:c r="I2" s="5" t="str">
        <x:v>Kaba taslak senaryo · 1.000–10.000 aktif ödeme yapan üye</x:v>
      </x:c>
      <x:c r="J2" s="5" t="str">
        <x:v>Kaba taslak senaryo · 1.000–10.000 aktif ödeme yapan üye</x:v>
      </x:c>
      <x:c r="K2" s="5" t="str">
        <x:v>Kaba taslak senaryo · 1.000–10.000 aktif ödeme yapan üye</x:v>
      </x:c>
      <x:c r="L2" s="5" t="str">
        <x:v>Kaba taslak senaryo · 1.000–10.000 aktif ödeme yapan üye</x:v>
      </x:c>
      <x:c r="N2" t="n">
        <x:f>'Gelir Tablosu'!A7</x:f>
        <x:v>1000</x:v>
      </x:c>
      <x:c r="O2" t="n">
        <x:f>'Gelir Tablosu'!F7</x:f>
        <x:v>234216.66666666666</x:v>
      </x:c>
      <x:c r="P2" t="n">
        <x:f>'Gelir Tablosu'!J7</x:f>
        <x:v>-35783.33333333334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N3" t="n">
        <x:f>'Gelir Tablosu'!A8</x:f>
        <x:v>2000</x:v>
      </x:c>
      <x:c r="O3" t="n">
        <x:f>'Gelir Tablosu'!F8</x:f>
        <x:v>468433.3333333333</x:v>
      </x:c>
      <x:c r="P3" t="n">
        <x:f>'Gelir Tablosu'!J8</x:f>
        <x:v>178433.3333333333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N4" t="n">
        <x:f>'Gelir Tablosu'!A9</x:f>
        <x:v>3000</x:v>
      </x:c>
      <x:c r="O4" t="n">
        <x:f>'Gelir Tablosu'!F9</x:f>
        <x:v>702650</x:v>
      </x:c>
      <x:c r="P4" t="n">
        <x:f>'Gelir Tablosu'!J9</x:f>
        <x:v>392650</x:v>
      </x:c>
    </x:row>
    <x:row r="5">
      <x:c r="A5" s="43" t="str">
        <x:v>1.000 ÜYE</x:v>
      </x:c>
      <x:c r="B5" s="43" t="str">
        <x:v>1.000 ÜYE</x:v>
      </x:c>
      <x:c r="C5" s="43" t="str">
        <x:v>1.000 ÜYE</x:v>
      </x:c>
      <x:c r="D5" s="2"/>
      <x:c r="E5" s="2"/>
      <x:c r="F5" s="2"/>
      <x:c r="G5" s="2"/>
      <x:c r="H5" s="2"/>
      <x:c r="I5" s="2"/>
      <x:c r="J5" s="2"/>
      <x:c r="K5" s="2"/>
      <x:c r="L5" s="2"/>
      <x:c r="N5" t="n">
        <x:f>'Gelir Tablosu'!A10</x:f>
        <x:v>4000</x:v>
      </x:c>
      <x:c r="O5" t="n">
        <x:f>'Gelir Tablosu'!F10</x:f>
        <x:v>936866.6666666666</x:v>
      </x:c>
      <x:c r="P5" t="n">
        <x:f>'Gelir Tablosu'!J10</x:f>
        <x:v>606866.6666666666</x:v>
      </x:c>
    </x:row>
    <x:row r="6">
      <x:c r="A6" s="17" t="str">
        <x:v>Aylık brüt ciro</x:v>
      </x:c>
      <x:c r="B6" s="17"/>
      <x:c r="C6" s="44" t="n">
        <x:f>'Gelir Tablosu'!B7</x:f>
        <x:v>299000</x:v>
      </x:c>
      <x:c r="D6" s="2"/>
      <x:c r="E6" s="2"/>
      <x:c r="F6" s="2"/>
      <x:c r="G6" s="2"/>
      <x:c r="H6" s="2"/>
      <x:c r="I6" s="2"/>
      <x:c r="J6" s="2"/>
      <x:c r="K6" s="2"/>
      <x:c r="L6" s="2"/>
      <x:c r="N6" t="n">
        <x:f>'Gelir Tablosu'!A11</x:f>
        <x:v>5000</x:v>
      </x:c>
      <x:c r="O6" t="n">
        <x:f>'Gelir Tablosu'!F11</x:f>
        <x:v>1171083.3333333333</x:v>
      </x:c>
      <x:c r="P6" t="n">
        <x:f>'Gelir Tablosu'!J11</x:f>
        <x:v>821083.3333333333</x:v>
      </x:c>
    </x:row>
    <x:row r="7">
      <x:c r="A7" s="19" t="str">
        <x:v>Aylık net satış</x:v>
      </x:c>
      <x:c r="B7" s="19"/>
      <x:c r="C7" s="45" t="n">
        <x:f>'Gelir Tablosu'!F7</x:f>
        <x:v>234216.66666666666</x:v>
      </x:c>
      <x:c r="D7" s="2"/>
      <x:c r="E7" s="2"/>
      <x:c r="F7" s="2"/>
      <x:c r="G7" s="2"/>
      <x:c r="H7" s="2"/>
      <x:c r="I7" s="2"/>
      <x:c r="J7" s="2"/>
      <x:c r="K7" s="2"/>
      <x:c r="L7" s="2"/>
      <x:c r="N7" t="n">
        <x:f>'Gelir Tablosu'!A12</x:f>
        <x:v>6000</x:v>
      </x:c>
      <x:c r="O7" t="n">
        <x:f>'Gelir Tablosu'!F12</x:f>
        <x:v>1405300</x:v>
      </x:c>
      <x:c r="P7" t="n">
        <x:f>'Gelir Tablosu'!J12</x:f>
        <x:v>1035300</x:v>
      </x:c>
    </x:row>
    <x:row r="8">
      <x:c r="A8" s="19" t="str">
        <x:v>Aylık işletme sonucu</x:v>
      </x:c>
      <x:c r="B8" s="19"/>
      <x:c r="C8" s="45" t="n">
        <x:f>'Gelir Tablosu'!J7</x:f>
        <x:v>-35783.33333333334</x:v>
      </x:c>
      <x:c r="D8" s="2"/>
      <x:c r="E8" s="2"/>
      <x:c r="F8" s="2"/>
      <x:c r="G8" s="2"/>
      <x:c r="H8" s="2"/>
      <x:c r="I8" s="2"/>
      <x:c r="J8" s="2"/>
      <x:c r="K8" s="2"/>
      <x:c r="L8" s="2"/>
      <x:c r="N8" t="n">
        <x:f>'Gelir Tablosu'!A13</x:f>
        <x:v>7000</x:v>
      </x:c>
      <x:c r="O8" t="n">
        <x:f>'Gelir Tablosu'!F13</x:f>
        <x:v>1639516.6666666665</x:v>
      </x:c>
      <x:c r="P8" t="n">
        <x:f>'Gelir Tablosu'!J13</x:f>
        <x:v>1249516.6666666665</x:v>
      </x:c>
    </x:row>
    <x:row r="9">
      <x:c r="A9" s="19" t="str">
        <x:v>Yıllık net satış</x:v>
      </x:c>
      <x:c r="B9" s="19"/>
      <x:c r="C9" s="45" t="n">
        <x:f>'Gelir Tablosu'!L7</x:f>
        <x:v>2810600</x:v>
      </x:c>
      <x:c r="D9" s="2"/>
      <x:c r="E9" s="2"/>
      <x:c r="F9" s="2"/>
      <x:c r="G9" s="2"/>
      <x:c r="H9" s="2"/>
      <x:c r="I9" s="2"/>
      <x:c r="J9" s="2"/>
      <x:c r="K9" s="2"/>
      <x:c r="L9" s="2"/>
      <x:c r="N9" t="n">
        <x:f>'Gelir Tablosu'!A14</x:f>
        <x:v>8000</x:v>
      </x:c>
      <x:c r="O9" t="n">
        <x:f>'Gelir Tablosu'!F14</x:f>
        <x:v>1873733.3333333333</x:v>
      </x:c>
      <x:c r="P9" t="n">
        <x:f>'Gelir Tablosu'!J14</x:f>
        <x:v>1463733.3333333333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N10" t="n">
        <x:f>'Gelir Tablosu'!A15</x:f>
        <x:v>9000</x:v>
      </x:c>
      <x:c r="O10" t="n">
        <x:f>'Gelir Tablosu'!F15</x:f>
        <x:v>2107950</x:v>
      </x:c>
      <x:c r="P10" t="n">
        <x:f>'Gelir Tablosu'!J15</x:f>
        <x:v>1677950</x:v>
      </x:c>
    </x:row>
    <x:row r="11">
      <x:c r="A11" s="43" t="str">
        <x:v>5.000 ÜYE</x:v>
      </x:c>
      <x:c r="B11" s="43" t="str">
        <x:v>5.000 ÜYE</x:v>
      </x:c>
      <x:c r="C11" s="43" t="str">
        <x:v>5.000 ÜYE</x:v>
      </x:c>
      <x:c r="D11" s="2"/>
      <x:c r="E11" s="2"/>
      <x:c r="F11" s="2"/>
      <x:c r="G11" s="2"/>
      <x:c r="H11" s="2"/>
      <x:c r="I11" s="2"/>
      <x:c r="J11" s="2"/>
      <x:c r="K11" s="2"/>
      <x:c r="L11" s="2"/>
      <x:c r="N11" t="n">
        <x:f>'Gelir Tablosu'!A16</x:f>
        <x:v>10000</x:v>
      </x:c>
      <x:c r="O11" t="n">
        <x:f>'Gelir Tablosu'!F16</x:f>
        <x:v>2342166.6666666665</x:v>
      </x:c>
      <x:c r="P11" t="n">
        <x:f>'Gelir Tablosu'!J16</x:f>
        <x:v>1892166.6666666665</x:v>
      </x:c>
    </x:row>
    <x:row r="12">
      <x:c r="A12" s="17" t="str">
        <x:v>Aylık brüt ciro</x:v>
      </x:c>
      <x:c r="B12" s="17"/>
      <x:c r="C12" s="44" t="n">
        <x:f>'Gelir Tablosu'!B11</x:f>
        <x:v>1495000</x:v>
      </x:c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19" t="str">
        <x:v>Aylık net satış</x:v>
      </x:c>
      <x:c r="B13" s="19"/>
      <x:c r="C13" s="45" t="n">
        <x:f>'Gelir Tablosu'!F11</x:f>
        <x:v>1171083.3333333333</x:v>
      </x:c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19" t="str">
        <x:v>Aylık işletme sonucu</x:v>
      </x:c>
      <x:c r="B14" s="19"/>
      <x:c r="C14" s="45" t="n">
        <x:f>'Gelir Tablosu'!J11</x:f>
        <x:v>821083.3333333333</x:v>
      </x:c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19" t="str">
        <x:v>Yıllık net satış</x:v>
      </x:c>
      <x:c r="B15" s="19"/>
      <x:c r="C15" s="45" t="n">
        <x:f>'Gelir Tablosu'!L11</x:f>
        <x:v>14053000</x:v>
      </x:c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43" t="str">
        <x:v>10.000 ÜYE</x:v>
      </x:c>
      <x:c r="B17" s="43" t="str">
        <x:v>10.000 ÜYE</x:v>
      </x:c>
      <x:c r="C17" s="43" t="str">
        <x:v>10.000 ÜYE</x:v>
      </x:c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17" t="str">
        <x:v>Aylık brüt ciro</x:v>
      </x:c>
      <x:c r="B18" s="17"/>
      <x:c r="C18" s="44" t="n">
        <x:f>'Gelir Tablosu'!B16</x:f>
        <x:v>2990000</x:v>
      </x:c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19" t="str">
        <x:v>Aylık net satış</x:v>
      </x:c>
      <x:c r="B19" s="19"/>
      <x:c r="C19" s="45" t="n">
        <x:f>'Gelir Tablosu'!F16</x:f>
        <x:v>2342166.6666666665</x:v>
      </x:c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19" t="str">
        <x:v>Aylık işletme sonucu</x:v>
      </x:c>
      <x:c r="B20" s="19"/>
      <x:c r="C20" s="45" t="n">
        <x:f>'Gelir Tablosu'!J16</x:f>
        <x:v>1892166.6666666665</x:v>
      </x:c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19" t="str">
        <x:v>Yıllık net satış</x:v>
      </x:c>
      <x:c r="B21" s="19"/>
      <x:c r="C21" s="45" t="n">
        <x:f>'Gelir Tablosu'!L16</x:f>
        <x:v>28106000</x:v>
      </x:c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7" t="str">
        <x:v>Başabaş görünümü</x:v>
      </x:c>
      <x:c r="B23" s="7" t="str">
        <x:v>Başabaş görünümü</x:v>
      </x:c>
      <x:c r="C23" s="7" t="str">
        <x:v>Başabaş görünümü</x:v>
      </x:c>
      <x:c r="D23" s="2"/>
      <x:c r="E23" s="50" t="str">
        <x:v>Kullanım</x:v>
      </x:c>
      <x:c r="F23" s="50" t="str">
        <x:v>Kullanım</x:v>
      </x:c>
      <x:c r="G23" s="50" t="str">
        <x:v>Kullanım</x:v>
      </x:c>
      <x:c r="H23" s="50" t="str">
        <x:v>Kullanım</x:v>
      </x:c>
      <x:c r="I23" s="50" t="str">
        <x:v>Kullanım</x:v>
      </x:c>
      <x:c r="J23" s="50" t="str">
        <x:v>Kullanım</x:v>
      </x:c>
      <x:c r="K23" s="50" t="str">
        <x:v>Kullanım</x:v>
      </x:c>
      <x:c r="L23" s="50" t="str">
        <x:v>Kullanım</x:v>
      </x:c>
    </x:row>
    <x:row r="24" ht="24" customHeight="1">
      <x:c r="A24" s="17" t="str">
        <x:v>Tahmini başabaş üye</x:v>
      </x:c>
      <x:c r="B24" s="17"/>
      <x:c r="C24" s="48" t="n">
        <x:f>'Varsayımlar'!B18</x:f>
        <x:v>1168</x:v>
      </x:c>
      <x:c r="D24" s="2"/>
      <x:c r="E24" s="52" t="str">
        <x:v>1. Sarı/mavi Varsayımlar hücrelerini güncelleyin.</x:v>
      </x:c>
      <x:c r="F24" s="52"/>
      <x:c r="G24" s="52"/>
      <x:c r="H24" s="52"/>
      <x:c r="I24" s="52"/>
      <x:c r="J24" s="52"/>
      <x:c r="K24" s="52"/>
      <x:c r="L24" s="52"/>
    </x:row>
    <x:row r="25" ht="24" customHeight="1">
      <x:c r="A25" s="19" t="str">
        <x:v>Net satış / kullanıcı</x:v>
      </x:c>
      <x:c r="B25" s="19"/>
      <x:c r="C25" s="45" t="n">
        <x:f>'Varsayımlar'!B16</x:f>
        <x:v>234.2166666666667</x:v>
      </x:c>
      <x:c r="D25" s="2"/>
      <x:c r="E25" s="52" t="str">
        <x:v>2. Gelir Tablosu sayfasında 1.000–10.000 üye sonuçlarını inceleyin.</x:v>
      </x:c>
      <x:c r="F25" s="52"/>
      <x:c r="G25" s="52"/>
      <x:c r="H25" s="52"/>
      <x:c r="I25" s="52"/>
      <x:c r="J25" s="52"/>
      <x:c r="K25" s="52"/>
      <x:c r="L25" s="52"/>
    </x:row>
    <x:row r="26" ht="24" customHeight="1">
      <x:c r="A26" s="19" t="str">
        <x:v>Katkı payı / kullanıcı</x:v>
      </x:c>
      <x:c r="B26" s="19"/>
      <x:c r="C26" s="45" t="n">
        <x:f>'Varsayımlar'!B17</x:f>
        <x:v>214.2166666666667</x:v>
      </x:c>
      <x:c r="D26" s="2"/>
      <x:c r="E26" s="52" t="str">
        <x:v>3. İşletme sonucu, finansman ve kurumlar vergisi öncesi kaba göstergedir.</x:v>
      </x:c>
      <x:c r="F26" s="52"/>
      <x:c r="G26" s="52"/>
      <x:c r="H26" s="52"/>
      <x:c r="I26" s="52"/>
      <x:c r="J26" s="52"/>
      <x:c r="K26" s="52"/>
      <x:c r="L26" s="52"/>
    </x:row>
    <x:row r="27" ht="24" customHeight="1">
      <x:c r="A27" s="2"/>
      <x:c r="B27" s="2"/>
      <x:c r="C27" s="2"/>
      <x:c r="D27" s="2"/>
      <x:c r="E27" s="52" t="str">
        <x:v>4. Üye sayıları aktif ve ödeme yapan kullanıcıyı ifade eder.</x:v>
      </x:c>
      <x:c r="F27" s="52"/>
      <x:c r="G27" s="52"/>
      <x:c r="H27" s="52"/>
      <x:c r="I27" s="52"/>
      <x:c r="J27" s="52"/>
      <x:c r="K27" s="52"/>
      <x:c r="L27" s="5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</x:sheetData>
  <x:mergeCells>
    <x:mergeCell ref="A1:L1"/>
    <x:mergeCell ref="A2:L2"/>
    <x:mergeCell ref="A5:C5"/>
    <x:mergeCell ref="A11:C11"/>
    <x:mergeCell ref="A17:C17"/>
    <x:mergeCell ref="A23:C23"/>
    <x:mergeCell ref="E23:L23"/>
    <x:mergeCell ref="E24:L24"/>
    <x:mergeCell ref="E25:L25"/>
    <x:mergeCell ref="E26:L26"/>
    <x:mergeCell ref="E27:L27"/>
  </x:mergeCells>
  <x:pageMargins left="0.7" right="0.7" top="0.75" bottom="0.75" header="0.3" footer="0.3"/>
  <x:drawing xmlns:r="http://schemas.openxmlformats.org/officeDocument/2006/relationships" r:id="R499ab21000344fd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7" hidden="0" customWidth="1"/>
    <x:col min="4" max="4" width="21" hidden="0" customWidth="1"/>
    <x:col min="5" max="5" width="38" hidden="0" customWidth="1"/>
  </x:cols>
  <x:sheetData>
    <x:row r="1" ht="34" customHeight="1">
      <x:c r="A1" s="4" t="str">
        <x:v>DRKOÇ · Üyelik Gelir Modeli</x:v>
      </x:c>
      <x:c r="B1" s="4" t="str">
        <x:v>DRKOÇ · Üyelik Gelir Modeli</x:v>
      </x:c>
      <x:c r="C1" s="4" t="str">
        <x:v>DRKOÇ · Üyelik Gelir Modeli</x:v>
      </x:c>
      <x:c r="D1" s="4" t="str">
        <x:v>DRKOÇ · Üyelik Gelir Modeli</x:v>
      </x:c>
      <x:c r="E1" s="4" t="str">
        <x:v>DRKOÇ · Üyelik Gelir Modeli</x:v>
      </x:c>
    </x:row>
    <x:row r="2" ht="22" customHeight="1">
      <x:c r="A2" s="5" t="str">
        <x:v>Mavi yazılı hücreler değiştirilebilir kaba taslak varsayımlardır. Tutarlar TL'dir.</x:v>
      </x:c>
      <x:c r="B2" s="5" t="str">
        <x:v>Mavi yazılı hücreler değiştirilebilir kaba taslak varsayımlardır. Tutarlar TL'dir.</x:v>
      </x:c>
      <x:c r="C2" s="5" t="str">
        <x:v>Mavi yazılı hücreler değiştirilebilir kaba taslak varsayımlardır. Tutarlar TL'dir.</x:v>
      </x:c>
      <x:c r="D2" s="5" t="str">
        <x:v>Mavi yazılı hücreler değiştirilebilir kaba taslak varsayımlardır. Tutarlar TL'dir.</x:v>
      </x:c>
      <x:c r="E2" s="5" t="str">
        <x:v>Mavi yazılı hücreler değiştirilebilir kaba taslak varsayımlardır. Tutarlar TL'dir.</x:v>
      </x:c>
    </x:row>
    <x:row r="3">
      <x:c r="A3" s="2"/>
      <x:c r="B3" s="2"/>
      <x:c r="C3" s="2"/>
      <x:c r="D3" s="2"/>
      <x:c r="E3" s="2"/>
    </x:row>
    <x:row r="4">
      <x:c r="A4" s="7" t="str">
        <x:v>Temel varsayımlar</x:v>
      </x:c>
      <x:c r="B4" s="7" t="str">
        <x:v>Temel varsayımlar</x:v>
      </x:c>
      <x:c r="C4" s="7" t="str">
        <x:v>Temel varsayımlar</x:v>
      </x:c>
      <x:c r="D4" s="7" t="str">
        <x:v>Temel varsayımlar</x:v>
      </x:c>
      <x:c r="E4" s="7" t="str">
        <x:v>Temel varsayımlar</x:v>
      </x:c>
    </x:row>
    <x:row r="5">
      <x:c r="A5" s="10" t="str">
        <x:v>Varsayım</x:v>
      </x:c>
      <x:c r="B5" s="10" t="str">
        <x:v>Değer</x:v>
      </x:c>
      <x:c r="C5" s="10" t="str">
        <x:v>Birim</x:v>
      </x:c>
      <x:c r="D5" s="10" t="str">
        <x:v>Modelde kullanım</x:v>
      </x:c>
      <x:c r="E5" s="10" t="str">
        <x:v>Not</x:v>
      </x:c>
    </x:row>
    <x:row r="6">
      <x:c r="A6" s="17" t="str">
        <x:v>Aylık üyelik fiyatı</x:v>
      </x:c>
      <x:c r="B6" s="18" t="n">
        <x:v>299</x:v>
      </x:c>
      <x:c r="C6" s="17" t="str">
        <x:v>TL / kullanıcı</x:v>
      </x:c>
      <x:c r="D6" s="17" t="str">
        <x:v>Brüt ciro</x:v>
      </x:c>
      <x:c r="E6" s="17" t="str">
        <x:v>KDV dahil liste fiyatı varsayımı</x:v>
      </x:c>
    </x:row>
    <x:row r="7">
      <x:c r="A7" s="19" t="str">
        <x:v>KDV oranı</x:v>
      </x:c>
      <x:c r="B7" s="20" t="n">
        <x:v>0.2</x:v>
      </x:c>
      <x:c r="C7" s="19" t="str">
        <x:v>%</x:v>
      </x:c>
      <x:c r="D7" s="19" t="str">
        <x:v>KDV ayrıştırma</x:v>
      </x:c>
      <x:c r="E7" s="19" t="str">
        <x:v>Fiyatın içindeki KDV'yi ayırır</x:v>
      </x:c>
    </x:row>
    <x:row r="8">
      <x:c r="A8" s="19" t="str">
        <x:v>Tahsilat / mağaza komisyonu</x:v>
      </x:c>
      <x:c r="B8" s="20" t="n">
        <x:v>0.05</x:v>
      </x:c>
      <x:c r="C8" s="19" t="str">
        <x:v>%</x:v>
      </x:c>
      <x:c r="D8" s="19" t="str">
        <x:v>Net satış geliri</x:v>
      </x:c>
      <x:c r="E8" s="19" t="str">
        <x:v>Brüt tahsilat üzerinden</x:v>
      </x:c>
    </x:row>
    <x:row r="9">
      <x:c r="A9" s="19" t="str">
        <x:v>Aylık değişken hizmet maliyeti</x:v>
      </x:c>
      <x:c r="B9" s="21" t="n">
        <x:v>20</x:v>
      </x:c>
      <x:c r="C9" s="19" t="str">
        <x:v>TL / kullanıcı</x:v>
      </x:c>
      <x:c r="D9" s="19" t="str">
        <x:v>Katkı payı</x:v>
      </x:c>
      <x:c r="E9" s="19" t="str">
        <x:v>Sunucu, yapay zekâ ve destek için kaba varsayım</x:v>
      </x:c>
    </x:row>
    <x:row r="10">
      <x:c r="A10" s="19" t="str">
        <x:v>Aylık sabit işletme gideri</x:v>
      </x:c>
      <x:c r="B10" s="21" t="n">
        <x:v>250000</x:v>
      </x:c>
      <x:c r="C10" s="19" t="str">
        <x:v>TL / ay</x:v>
      </x:c>
      <x:c r="D10" s="19" t="str">
        <x:v>İşletme sonucu</x:v>
      </x:c>
      <x:c r="E10" s="19" t="str">
        <x:v>Ekip, pazarlama ve genel gider için kaba varsayım</x:v>
      </x:c>
    </x:row>
    <x:row r="11">
      <x:c r="A11" s="19" t="str">
        <x:v>Yıllık dönem</x:v>
      </x:c>
      <x:c r="B11" s="22" t="n">
        <x:v>12</x:v>
      </x:c>
      <x:c r="C11" s="19" t="str">
        <x:v>ay</x:v>
      </x:c>
      <x:c r="D11" s="19" t="str">
        <x:v>Yıllıklaştırma</x:v>
      </x:c>
      <x:c r="E11" s="19" t="str">
        <x:v>Aylık değerleri 12 ay ile çarpar</x:v>
      </x:c>
    </x:row>
    <x:row r="12">
      <x:c r="A12" s="2"/>
      <x:c r="B12" s="2"/>
      <x:c r="C12" s="2"/>
      <x:c r="D12" s="2"/>
      <x:c r="E12" s="2"/>
    </x:row>
    <x:row r="13">
      <x:c r="A13" s="7" t="str">
        <x:v>Birim ekonomi ve başabaş noktası</x:v>
      </x:c>
      <x:c r="B13" s="7" t="str">
        <x:v>Birim ekonomi ve başabaş noktası</x:v>
      </x:c>
      <x:c r="C13" s="7" t="str">
        <x:v>Birim ekonomi ve başabaş noktası</x:v>
      </x:c>
      <x:c r="D13" s="7" t="str">
        <x:v>Birim ekonomi ve başabaş noktası</x:v>
      </x:c>
      <x:c r="E13" s="7" t="str">
        <x:v>Birim ekonomi ve başabaş noktası</x:v>
      </x:c>
    </x:row>
    <x:row r="14">
      <x:c r="A14" s="17" t="str">
        <x:v>KDV hariç gelir / kullanıcı</x:v>
      </x:c>
      <x:c r="B14" s="25" t="n">
        <x:f>B6/(1+B7)</x:f>
        <x:v>249.16666666666669</x:v>
      </x:c>
      <x:c r="C14" s="2"/>
      <x:c r="D14" s="2"/>
      <x:c r="E14" s="2"/>
    </x:row>
    <x:row r="15">
      <x:c r="A15" s="19" t="str">
        <x:v>Komisyon / kullanıcı</x:v>
      </x:c>
      <x:c r="B15" s="26" t="n">
        <x:f>B6*B8</x:f>
        <x:v>14.950000000000001</x:v>
      </x:c>
      <x:c r="C15" s="2"/>
      <x:c r="D15" s="2"/>
      <x:c r="E15" s="2"/>
    </x:row>
    <x:row r="16">
      <x:c r="A16" s="19" t="str">
        <x:v>Net satış geliri / kullanıcı</x:v>
      </x:c>
      <x:c r="B16" s="26" t="n">
        <x:f>B14-B15</x:f>
        <x:v>234.2166666666667</x:v>
      </x:c>
      <x:c r="C16" s="2"/>
      <x:c r="D16" s="2"/>
      <x:c r="E16" s="2"/>
    </x:row>
    <x:row r="17">
      <x:c r="A17" s="19" t="str">
        <x:v>Katkı payı / kullanıcı</x:v>
      </x:c>
      <x:c r="B17" s="26" t="n">
        <x:f>B16-B9</x:f>
        <x:v>214.2166666666667</x:v>
      </x:c>
      <x:c r="C17" s="2"/>
      <x:c r="D17" s="2"/>
      <x:c r="E17" s="2"/>
    </x:row>
    <x:row r="18">
      <x:c r="A18" s="19" t="str">
        <x:v>Tahmini başabaş üye sayısı</x:v>
      </x:c>
      <x:c r="B18" s="27" t="n">
        <x:f>ROUNDUP(B10/B17,0)</x:f>
        <x:v>1168</x:v>
      </x:c>
      <x:c r="C18" s="2"/>
      <x:c r="D18" s="2"/>
      <x:c r="E18" s="2"/>
    </x:row>
    <x:row r="19">
      <x:c r="A19" s="2"/>
      <x:c r="B19" s="2"/>
      <x:c r="C19" s="2"/>
      <x:c r="D19" s="2"/>
      <x:c r="E19" s="2"/>
    </x:row>
    <x:row r="20" ht="30" customHeight="1">
      <x:c r="A20" s="30" t="str">
        <x:v>Kapsam notu: Bu çalışma vergi/muhasebe görüşü değil, karar vermeyi kolaylaştıran kaba bir üyelik gelir senaryosudur.</x:v>
      </x:c>
      <x:c r="B20" s="30"/>
      <x:c r="C20" s="30"/>
      <x:c r="D20" s="30"/>
      <x:c r="E20" s="30"/>
    </x:row>
    <x:row r="21" ht="30" customHeight="1">
      <x:c r="A21" s="30" t="str">
        <x:v>Üye sayıları aktif ve ödeme yapan kullanıcıyı ifade eder; ücretsiz kullanıcılar ve churn (üyelik kaybı) ayrıca modellenmemiştir.</x:v>
      </x:c>
      <x:c r="B21" s="30"/>
      <x:c r="C21" s="30"/>
      <x:c r="D21" s="30"/>
      <x:c r="E21" s="30"/>
    </x:row>
    <x:row r="22">
      <x:c r="A22" s="2"/>
      <x:c r="B22" s="2"/>
      <x:c r="C22" s="2"/>
      <x:c r="D22" s="2"/>
      <x:c r="E22" s="2"/>
    </x:row>
  </x:sheetData>
  <x:mergeCells>
    <x:mergeCell ref="A1:E1"/>
    <x:mergeCell ref="A2:E2"/>
    <x:mergeCell ref="A4:E4"/>
    <x:mergeCell ref="A13:E13"/>
    <x:mergeCell ref="A20:E20"/>
    <x:mergeCell ref="A21:E21"/>
  </x:mergeCells>
  <x:pageMargins left="0.7" right="0.7" top="0.75" bottom="0.75" header="0.3" footer="0.3"/>
  <x:legacyDrawing xmlns:r="http://schemas.openxmlformats.org/officeDocument/2006/relationships" r:id="Rdcd6f96c85c44e4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4" customHeight="1">
      <x:c r="A1" s="4" t="str">
        <x:v>1.000–10.000 Ücretli Üye Senaryosu</x:v>
      </x:c>
      <x:c r="B1" s="4" t="str">
        <x:v>1.000–10.000 Ücretli Üye Senaryosu</x:v>
      </x:c>
      <x:c r="C1" s="4" t="str">
        <x:v>1.000–10.000 Ücretli Üye Senaryosu</x:v>
      </x:c>
      <x:c r="D1" s="4" t="str">
        <x:v>1.000–10.000 Ücretli Üye Senaryosu</x:v>
      </x:c>
      <x:c r="E1" s="4" t="str">
        <x:v>1.000–10.000 Ücretli Üye Senaryosu</x:v>
      </x:c>
      <x:c r="F1" s="4" t="str">
        <x:v>1.000–10.000 Ücretli Üye Senaryosu</x:v>
      </x:c>
      <x:c r="G1" s="4" t="str">
        <x:v>1.000–10.000 Ücretli Üye Senaryosu</x:v>
      </x:c>
      <x:c r="H1" s="4" t="str">
        <x:v>1.000–10.000 Ücretli Üye Senaryosu</x:v>
      </x:c>
      <x:c r="I1" s="4" t="str">
        <x:v>1.000–10.000 Ücretli Üye Senaryosu</x:v>
      </x:c>
      <x:c r="J1" s="4" t="str">
        <x:v>1.000–10.000 Ücretli Üye Senaryosu</x:v>
      </x:c>
      <x:c r="K1" s="4" t="str">
        <x:v>1.000–10.000 Ücretli Üye Senaryosu</x:v>
      </x:c>
      <x:c r="L1" s="4" t="str">
        <x:v>1.000–10.000 Ücretli Üye Senaryosu</x:v>
      </x:c>
      <x:c r="M1" s="4" t="str">
        <x:v>1.000–10.000 Ücretli Üye Senaryosu</x:v>
      </x:c>
    </x:row>
    <x:row r="2" ht="22" customHeight="1">
      <x:c r="A2" s="5" t="str">
        <x:v>Aylık ve yıllık sonuçlar, Varsayımlar sayfasındaki düzenlenebilir girdilere bağlıdır.</x:v>
      </x:c>
      <x:c r="B2" s="5" t="str">
        <x:v>Aylık ve yıllık sonuçlar, Varsayımlar sayfasındaki düzenlenebilir girdilere bağlıdır.</x:v>
      </x:c>
      <x:c r="C2" s="5" t="str">
        <x:v>Aylık ve yıllık sonuçlar, Varsayımlar sayfasındaki düzenlenebilir girdilere bağlıdır.</x:v>
      </x:c>
      <x:c r="D2" s="5" t="str">
        <x:v>Aylık ve yıllık sonuçlar, Varsayımlar sayfasındaki düzenlenebilir girdilere bağlıdır.</x:v>
      </x:c>
      <x:c r="E2" s="5" t="str">
        <x:v>Aylık ve yıllık sonuçlar, Varsayımlar sayfasındaki düzenlenebilir girdilere bağlıdır.</x:v>
      </x:c>
      <x:c r="F2" s="5" t="str">
        <x:v>Aylık ve yıllık sonuçlar, Varsayımlar sayfasındaki düzenlenebilir girdilere bağlıdır.</x:v>
      </x:c>
      <x:c r="G2" s="5" t="str">
        <x:v>Aylık ve yıllık sonuçlar, Varsayımlar sayfasındaki düzenlenebilir girdilere bağlıdır.</x:v>
      </x:c>
      <x:c r="H2" s="5" t="str">
        <x:v>Aylık ve yıllık sonuçlar, Varsayımlar sayfasındaki düzenlenebilir girdilere bağlıdır.</x:v>
      </x:c>
      <x:c r="I2" s="5" t="str">
        <x:v>Aylık ve yıllık sonuçlar, Varsayımlar sayfasındaki düzenlenebilir girdilere bağlıdır.</x:v>
      </x:c>
      <x:c r="J2" s="5" t="str">
        <x:v>Aylık ve yıllık sonuçlar, Varsayımlar sayfasındaki düzenlenebilir girdilere bağlıdır.</x:v>
      </x:c>
      <x:c r="K2" s="5" t="str">
        <x:v>Aylık ve yıllık sonuçlar, Varsayımlar sayfasındaki düzenlenebilir girdilere bağlıdır.</x:v>
      </x:c>
      <x:c r="L2" s="5" t="str">
        <x:v>Aylık ve yıllık sonuçlar, Varsayımlar sayfasındaki düzenlenebilir girdilere bağlıdır.</x:v>
      </x:c>
      <x:c r="M2" s="5" t="str">
        <x:v>Aylık ve yıllık sonuçlar, Varsayımlar sayfasındaki düzenlenebilir girdilere bağlıdır.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7" t="str">
        <x:v>Senaryo gelir tablosu</x:v>
      </x:c>
      <x:c r="B4" s="7" t="str">
        <x:v>Senaryo gelir tablosu</x:v>
      </x:c>
      <x:c r="C4" s="7" t="str">
        <x:v>Senaryo gelir tablosu</x:v>
      </x:c>
      <x:c r="D4" s="7" t="str">
        <x:v>Senaryo gelir tablosu</x:v>
      </x:c>
      <x:c r="E4" s="7" t="str">
        <x:v>Senaryo gelir tablosu</x:v>
      </x:c>
      <x:c r="F4" s="7" t="str">
        <x:v>Senaryo gelir tablosu</x:v>
      </x:c>
      <x:c r="G4" s="7" t="str">
        <x:v>Senaryo gelir tablosu</x:v>
      </x:c>
      <x:c r="H4" s="7" t="str">
        <x:v>Senaryo gelir tablosu</x:v>
      </x:c>
      <x:c r="I4" s="7" t="str">
        <x:v>Senaryo gelir tablosu</x:v>
      </x:c>
      <x:c r="J4" s="7" t="str">
        <x:v>Senaryo gelir tablosu</x:v>
      </x:c>
      <x:c r="K4" s="7" t="str">
        <x:v>Senaryo gelir tablosu</x:v>
      </x:c>
      <x:c r="L4" s="7" t="str">
        <x:v>Senaryo gelir tablosu</x:v>
      </x:c>
      <x:c r="M4" s="7" t="str">
        <x:v>Senaryo gelir tablosu</x:v>
      </x:c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4" customHeight="1">
      <x:c r="A6" s="33" t="str">
        <x:v>Aktif ücretli üye</x:v>
      </x:c>
      <x:c r="B6" s="33" t="str">
        <x:v>Aylık brüt ciro</x:v>
      </x:c>
      <x:c r="C6" s="33" t="str">
        <x:v>Aylık KDV</x:v>
      </x:c>
      <x:c r="D6" s="33" t="str">
        <x:v>KDV hariç ciro</x:v>
      </x:c>
      <x:c r="E6" s="33" t="str">
        <x:v>Tahsilat komisyonu</x:v>
      </x:c>
      <x:c r="F6" s="33" t="str">
        <x:v>Net satış geliri</x:v>
      </x:c>
      <x:c r="G6" s="33" t="str">
        <x:v>Değişken maliyet</x:v>
      </x:c>
      <x:c r="H6" s="33" t="str">
        <x:v>Katkı payı</x:v>
      </x:c>
      <x:c r="I6" s="33" t="str">
        <x:v>Sabit gider</x:v>
      </x:c>
      <x:c r="J6" s="33" t="str">
        <x:v>Aylık işletme sonucu</x:v>
      </x:c>
      <x:c r="K6" s="33" t="str">
        <x:v>Yıllık brüt ciro</x:v>
      </x:c>
      <x:c r="L6" s="33" t="str">
        <x:v>Yıllık net satış geliri</x:v>
      </x:c>
      <x:c r="M6" s="33" t="str">
        <x:v>Yıllık işletme sonucu</x:v>
      </x:c>
    </x:row>
    <x:row r="7">
      <x:c r="A7" s="37" t="n">
        <x:v>1000</x:v>
      </x:c>
      <x:c r="B7" s="40" t="n">
        <x:f>A7*'Varsayımlar'!$B$6</x:f>
        <x:v>299000</x:v>
      </x:c>
      <x:c r="C7" s="40" t="n">
        <x:f>B7*'Varsayımlar'!$B$7/(1+'Varsayımlar'!$B$7)</x:f>
        <x:v>49833.333333333336</x:v>
      </x:c>
      <x:c r="D7" s="40" t="n">
        <x:f>B7-C7</x:f>
        <x:v>249166.66666666666</x:v>
      </x:c>
      <x:c r="E7" s="40" t="n">
        <x:f>B7*'Varsayımlar'!$B$8</x:f>
        <x:v>14950</x:v>
      </x:c>
      <x:c r="F7" s="40" t="n">
        <x:f>D7-E7</x:f>
        <x:v>234216.66666666666</x:v>
      </x:c>
      <x:c r="G7" s="40" t="n">
        <x:f>A7*'Varsayımlar'!$B$9</x:f>
        <x:v>20000</x:v>
      </x:c>
      <x:c r="H7" s="40" t="n">
        <x:f>F7-G7</x:f>
        <x:v>214216.66666666666</x:v>
      </x:c>
      <x:c r="I7" s="40" t="n">
        <x:f>'Varsayımlar'!$B$10</x:f>
        <x:v>250000</x:v>
      </x:c>
      <x:c r="J7" s="40" t="n">
        <x:f>H7-I7</x:f>
        <x:v>-35783.33333333334</x:v>
      </x:c>
      <x:c r="K7" s="40" t="n">
        <x:f>B7*'Varsayımlar'!$B$11</x:f>
        <x:v>3588000</x:v>
      </x:c>
      <x:c r="L7" s="40" t="n">
        <x:f>F7*'Varsayımlar'!$B$11</x:f>
        <x:v>2810600</x:v>
      </x:c>
      <x:c r="M7" s="40" t="n">
        <x:f>J7*'Varsayımlar'!$B$11</x:f>
        <x:v>-429400.0000000001</x:v>
      </x:c>
    </x:row>
    <x:row r="8">
      <x:c r="A8" s="38" t="n">
        <x:v>2000</x:v>
      </x:c>
      <x:c r="B8" s="41" t="n">
        <x:f>A8*'Varsayımlar'!$B$6</x:f>
        <x:v>598000</x:v>
      </x:c>
      <x:c r="C8" s="41" t="n">
        <x:f>B8*'Varsayımlar'!$B$7/(1+'Varsayımlar'!$B$7)</x:f>
        <x:v>99666.66666666667</x:v>
      </x:c>
      <x:c r="D8" s="41" t="n">
        <x:f>B8-C8</x:f>
        <x:v>498333.3333333333</x:v>
      </x:c>
      <x:c r="E8" s="41" t="n">
        <x:f>B8*'Varsayımlar'!$B$8</x:f>
        <x:v>29900</x:v>
      </x:c>
      <x:c r="F8" s="41" t="n">
        <x:f>D8-E8</x:f>
        <x:v>468433.3333333333</x:v>
      </x:c>
      <x:c r="G8" s="41" t="n">
        <x:f>A8*'Varsayımlar'!$B$9</x:f>
        <x:v>40000</x:v>
      </x:c>
      <x:c r="H8" s="41" t="n">
        <x:f>F8-G8</x:f>
        <x:v>428433.3333333333</x:v>
      </x:c>
      <x:c r="I8" s="41" t="n">
        <x:f>'Varsayımlar'!$B$10</x:f>
        <x:v>250000</x:v>
      </x:c>
      <x:c r="J8" s="41" t="n">
        <x:f>H8-I8</x:f>
        <x:v>178433.3333333333</x:v>
      </x:c>
      <x:c r="K8" s="41" t="n">
        <x:f>B8*'Varsayımlar'!$B$11</x:f>
        <x:v>7176000</x:v>
      </x:c>
      <x:c r="L8" s="41" t="n">
        <x:f>F8*'Varsayımlar'!$B$11</x:f>
        <x:v>5621200</x:v>
      </x:c>
      <x:c r="M8" s="41" t="n">
        <x:f>J8*'Varsayımlar'!$B$11</x:f>
        <x:v>2141200</x:v>
      </x:c>
    </x:row>
    <x:row r="9">
      <x:c r="A9" s="38" t="n">
        <x:v>3000</x:v>
      </x:c>
      <x:c r="B9" s="41" t="n">
        <x:f>A9*'Varsayımlar'!$B$6</x:f>
        <x:v>897000</x:v>
      </x:c>
      <x:c r="C9" s="41" t="n">
        <x:f>B9*'Varsayımlar'!$B$7/(1+'Varsayımlar'!$B$7)</x:f>
        <x:v>149500</x:v>
      </x:c>
      <x:c r="D9" s="41" t="n">
        <x:f>B9-C9</x:f>
        <x:v>747500</x:v>
      </x:c>
      <x:c r="E9" s="41" t="n">
        <x:f>B9*'Varsayımlar'!$B$8</x:f>
        <x:v>44850</x:v>
      </x:c>
      <x:c r="F9" s="41" t="n">
        <x:f>D9-E9</x:f>
        <x:v>702650</x:v>
      </x:c>
      <x:c r="G9" s="41" t="n">
        <x:f>A9*'Varsayımlar'!$B$9</x:f>
        <x:v>60000</x:v>
      </x:c>
      <x:c r="H9" s="41" t="n">
        <x:f>F9-G9</x:f>
        <x:v>642650</x:v>
      </x:c>
      <x:c r="I9" s="41" t="n">
        <x:f>'Varsayımlar'!$B$10</x:f>
        <x:v>250000</x:v>
      </x:c>
      <x:c r="J9" s="41" t="n">
        <x:f>H9-I9</x:f>
        <x:v>392650</x:v>
      </x:c>
      <x:c r="K9" s="41" t="n">
        <x:f>B9*'Varsayımlar'!$B$11</x:f>
        <x:v>10764000</x:v>
      </x:c>
      <x:c r="L9" s="41" t="n">
        <x:f>F9*'Varsayımlar'!$B$11</x:f>
        <x:v>8431800</x:v>
      </x:c>
      <x:c r="M9" s="41" t="n">
        <x:f>J9*'Varsayımlar'!$B$11</x:f>
        <x:v>4711800</x:v>
      </x:c>
    </x:row>
    <x:row r="10">
      <x:c r="A10" s="38" t="n">
        <x:v>4000</x:v>
      </x:c>
      <x:c r="B10" s="41" t="n">
        <x:f>A10*'Varsayımlar'!$B$6</x:f>
        <x:v>1196000</x:v>
      </x:c>
      <x:c r="C10" s="41" t="n">
        <x:f>B10*'Varsayımlar'!$B$7/(1+'Varsayımlar'!$B$7)</x:f>
        <x:v>199333.33333333334</x:v>
      </x:c>
      <x:c r="D10" s="41" t="n">
        <x:f>B10-C10</x:f>
        <x:v>996666.6666666666</x:v>
      </x:c>
      <x:c r="E10" s="41" t="n">
        <x:f>B10*'Varsayımlar'!$B$8</x:f>
        <x:v>59800</x:v>
      </x:c>
      <x:c r="F10" s="41" t="n">
        <x:f>D10-E10</x:f>
        <x:v>936866.6666666666</x:v>
      </x:c>
      <x:c r="G10" s="41" t="n">
        <x:f>A10*'Varsayımlar'!$B$9</x:f>
        <x:v>80000</x:v>
      </x:c>
      <x:c r="H10" s="41" t="n">
        <x:f>F10-G10</x:f>
        <x:v>856866.6666666666</x:v>
      </x:c>
      <x:c r="I10" s="41" t="n">
        <x:f>'Varsayımlar'!$B$10</x:f>
        <x:v>250000</x:v>
      </x:c>
      <x:c r="J10" s="41" t="n">
        <x:f>H10-I10</x:f>
        <x:v>606866.6666666666</x:v>
      </x:c>
      <x:c r="K10" s="41" t="n">
        <x:f>B10*'Varsayımlar'!$B$11</x:f>
        <x:v>14352000</x:v>
      </x:c>
      <x:c r="L10" s="41" t="n">
        <x:f>F10*'Varsayımlar'!$B$11</x:f>
        <x:v>11242400</x:v>
      </x:c>
      <x:c r="M10" s="41" t="n">
        <x:f>J10*'Varsayımlar'!$B$11</x:f>
        <x:v>7282400</x:v>
      </x:c>
    </x:row>
    <x:row r="11">
      <x:c r="A11" s="38" t="n">
        <x:v>5000</x:v>
      </x:c>
      <x:c r="B11" s="41" t="n">
        <x:f>A11*'Varsayımlar'!$B$6</x:f>
        <x:v>1495000</x:v>
      </x:c>
      <x:c r="C11" s="41" t="n">
        <x:f>B11*'Varsayımlar'!$B$7/(1+'Varsayımlar'!$B$7)</x:f>
        <x:v>249166.6666666667</x:v>
      </x:c>
      <x:c r="D11" s="41" t="n">
        <x:f>B11-C11</x:f>
        <x:v>1245833.3333333333</x:v>
      </x:c>
      <x:c r="E11" s="41" t="n">
        <x:f>B11*'Varsayımlar'!$B$8</x:f>
        <x:v>74750</x:v>
      </x:c>
      <x:c r="F11" s="41" t="n">
        <x:f>D11-E11</x:f>
        <x:v>1171083.3333333333</x:v>
      </x:c>
      <x:c r="G11" s="41" t="n">
        <x:f>A11*'Varsayımlar'!$B$9</x:f>
        <x:v>100000</x:v>
      </x:c>
      <x:c r="H11" s="41" t="n">
        <x:f>F11-G11</x:f>
        <x:v>1071083.3333333333</x:v>
      </x:c>
      <x:c r="I11" s="41" t="n">
        <x:f>'Varsayımlar'!$B$10</x:f>
        <x:v>250000</x:v>
      </x:c>
      <x:c r="J11" s="41" t="n">
        <x:f>H11-I11</x:f>
        <x:v>821083.3333333333</x:v>
      </x:c>
      <x:c r="K11" s="41" t="n">
        <x:f>B11*'Varsayımlar'!$B$11</x:f>
        <x:v>17940000</x:v>
      </x:c>
      <x:c r="L11" s="41" t="n">
        <x:f>F11*'Varsayımlar'!$B$11</x:f>
        <x:v>14053000</x:v>
      </x:c>
      <x:c r="M11" s="41" t="n">
        <x:f>J11*'Varsayımlar'!$B$11</x:f>
        <x:v>9853000</x:v>
      </x:c>
    </x:row>
    <x:row r="12">
      <x:c r="A12" s="38" t="n">
        <x:v>6000</x:v>
      </x:c>
      <x:c r="B12" s="41" t="n">
        <x:f>A12*'Varsayımlar'!$B$6</x:f>
        <x:v>1794000</x:v>
      </x:c>
      <x:c r="C12" s="41" t="n">
        <x:f>B12*'Varsayımlar'!$B$7/(1+'Varsayımlar'!$B$7)</x:f>
        <x:v>299000</x:v>
      </x:c>
      <x:c r="D12" s="41" t="n">
        <x:f>B12-C12</x:f>
        <x:v>1495000</x:v>
      </x:c>
      <x:c r="E12" s="41" t="n">
        <x:f>B12*'Varsayımlar'!$B$8</x:f>
        <x:v>89700</x:v>
      </x:c>
      <x:c r="F12" s="41" t="n">
        <x:f>D12-E12</x:f>
        <x:v>1405300</x:v>
      </x:c>
      <x:c r="G12" s="41" t="n">
        <x:f>A12*'Varsayımlar'!$B$9</x:f>
        <x:v>120000</x:v>
      </x:c>
      <x:c r="H12" s="41" t="n">
        <x:f>F12-G12</x:f>
        <x:v>1285300</x:v>
      </x:c>
      <x:c r="I12" s="41" t="n">
        <x:f>'Varsayımlar'!$B$10</x:f>
        <x:v>250000</x:v>
      </x:c>
      <x:c r="J12" s="41" t="n">
        <x:f>H12-I12</x:f>
        <x:v>1035300</x:v>
      </x:c>
      <x:c r="K12" s="41" t="n">
        <x:f>B12*'Varsayımlar'!$B$11</x:f>
        <x:v>21528000</x:v>
      </x:c>
      <x:c r="L12" s="41" t="n">
        <x:f>F12*'Varsayımlar'!$B$11</x:f>
        <x:v>16863600</x:v>
      </x:c>
      <x:c r="M12" s="41" t="n">
        <x:f>J12*'Varsayımlar'!$B$11</x:f>
        <x:v>12423600</x:v>
      </x:c>
    </x:row>
    <x:row r="13">
      <x:c r="A13" s="38" t="n">
        <x:v>7000</x:v>
      </x:c>
      <x:c r="B13" s="41" t="n">
        <x:f>A13*'Varsayımlar'!$B$6</x:f>
        <x:v>2093000</x:v>
      </x:c>
      <x:c r="C13" s="41" t="n">
        <x:f>B13*'Varsayımlar'!$B$7/(1+'Varsayımlar'!$B$7)</x:f>
        <x:v>348833.3333333334</x:v>
      </x:c>
      <x:c r="D13" s="41" t="n">
        <x:f>B13-C13</x:f>
        <x:v>1744166.6666666665</x:v>
      </x:c>
      <x:c r="E13" s="41" t="n">
        <x:f>B13*'Varsayımlar'!$B$8</x:f>
        <x:v>104650</x:v>
      </x:c>
      <x:c r="F13" s="41" t="n">
        <x:f>D13-E13</x:f>
        <x:v>1639516.6666666665</x:v>
      </x:c>
      <x:c r="G13" s="41" t="n">
        <x:f>A13*'Varsayımlar'!$B$9</x:f>
        <x:v>140000</x:v>
      </x:c>
      <x:c r="H13" s="41" t="n">
        <x:f>F13-G13</x:f>
        <x:v>1499516.6666666665</x:v>
      </x:c>
      <x:c r="I13" s="41" t="n">
        <x:f>'Varsayımlar'!$B$10</x:f>
        <x:v>250000</x:v>
      </x:c>
      <x:c r="J13" s="41" t="n">
        <x:f>H13-I13</x:f>
        <x:v>1249516.6666666665</x:v>
      </x:c>
      <x:c r="K13" s="41" t="n">
        <x:f>B13*'Varsayımlar'!$B$11</x:f>
        <x:v>25116000</x:v>
      </x:c>
      <x:c r="L13" s="41" t="n">
        <x:f>F13*'Varsayımlar'!$B$11</x:f>
        <x:v>19674200</x:v>
      </x:c>
      <x:c r="M13" s="41" t="n">
        <x:f>J13*'Varsayımlar'!$B$11</x:f>
        <x:v>14994199.999999998</x:v>
      </x:c>
    </x:row>
    <x:row r="14">
      <x:c r="A14" s="38" t="n">
        <x:v>8000</x:v>
      </x:c>
      <x:c r="B14" s="41" t="n">
        <x:f>A14*'Varsayımlar'!$B$6</x:f>
        <x:v>2392000</x:v>
      </x:c>
      <x:c r="C14" s="41" t="n">
        <x:f>B14*'Varsayımlar'!$B$7/(1+'Varsayımlar'!$B$7)</x:f>
        <x:v>398666.6666666667</x:v>
      </x:c>
      <x:c r="D14" s="41" t="n">
        <x:f>B14-C14</x:f>
        <x:v>1993333.3333333333</x:v>
      </x:c>
      <x:c r="E14" s="41" t="n">
        <x:f>B14*'Varsayımlar'!$B$8</x:f>
        <x:v>119600</x:v>
      </x:c>
      <x:c r="F14" s="41" t="n">
        <x:f>D14-E14</x:f>
        <x:v>1873733.3333333333</x:v>
      </x:c>
      <x:c r="G14" s="41" t="n">
        <x:f>A14*'Varsayımlar'!$B$9</x:f>
        <x:v>160000</x:v>
      </x:c>
      <x:c r="H14" s="41" t="n">
        <x:f>F14-G14</x:f>
        <x:v>1713733.3333333333</x:v>
      </x:c>
      <x:c r="I14" s="41" t="n">
        <x:f>'Varsayımlar'!$B$10</x:f>
        <x:v>250000</x:v>
      </x:c>
      <x:c r="J14" s="41" t="n">
        <x:f>H14-I14</x:f>
        <x:v>1463733.3333333333</x:v>
      </x:c>
      <x:c r="K14" s="41" t="n">
        <x:f>B14*'Varsayımlar'!$B$11</x:f>
        <x:v>28704000</x:v>
      </x:c>
      <x:c r="L14" s="41" t="n">
        <x:f>F14*'Varsayımlar'!$B$11</x:f>
        <x:v>22484800</x:v>
      </x:c>
      <x:c r="M14" s="41" t="n">
        <x:f>J14*'Varsayımlar'!$B$11</x:f>
        <x:v>17564800</x:v>
      </x:c>
    </x:row>
    <x:row r="15">
      <x:c r="A15" s="38" t="n">
        <x:v>9000</x:v>
      </x:c>
      <x:c r="B15" s="41" t="n">
        <x:f>A15*'Varsayımlar'!$B$6</x:f>
        <x:v>2691000</x:v>
      </x:c>
      <x:c r="C15" s="41" t="n">
        <x:f>B15*'Varsayımlar'!$B$7/(1+'Varsayımlar'!$B$7)</x:f>
        <x:v>448500</x:v>
      </x:c>
      <x:c r="D15" s="41" t="n">
        <x:f>B15-C15</x:f>
        <x:v>2242500</x:v>
      </x:c>
      <x:c r="E15" s="41" t="n">
        <x:f>B15*'Varsayımlar'!$B$8</x:f>
        <x:v>134550</x:v>
      </x:c>
      <x:c r="F15" s="41" t="n">
        <x:f>D15-E15</x:f>
        <x:v>2107950</x:v>
      </x:c>
      <x:c r="G15" s="41" t="n">
        <x:f>A15*'Varsayımlar'!$B$9</x:f>
        <x:v>180000</x:v>
      </x:c>
      <x:c r="H15" s="41" t="n">
        <x:f>F15-G15</x:f>
        <x:v>1927950</x:v>
      </x:c>
      <x:c r="I15" s="41" t="n">
        <x:f>'Varsayımlar'!$B$10</x:f>
        <x:v>250000</x:v>
      </x:c>
      <x:c r="J15" s="41" t="n">
        <x:f>H15-I15</x:f>
        <x:v>1677950</x:v>
      </x:c>
      <x:c r="K15" s="41" t="n">
        <x:f>B15*'Varsayımlar'!$B$11</x:f>
        <x:v>32292000</x:v>
      </x:c>
      <x:c r="L15" s="41" t="n">
        <x:f>F15*'Varsayımlar'!$B$11</x:f>
        <x:v>25295400</x:v>
      </x:c>
      <x:c r="M15" s="41" t="n">
        <x:f>J15*'Varsayımlar'!$B$11</x:f>
        <x:v>20135400</x:v>
      </x:c>
    </x:row>
    <x:row r="16">
      <x:c r="A16" s="39" t="n">
        <x:v>10000</x:v>
      </x:c>
      <x:c r="B16" s="42" t="n">
        <x:f>A16*'Varsayımlar'!$B$6</x:f>
        <x:v>2990000</x:v>
      </x:c>
      <x:c r="C16" s="42" t="n">
        <x:f>B16*'Varsayımlar'!$B$7/(1+'Varsayımlar'!$B$7)</x:f>
        <x:v>498333.3333333334</x:v>
      </x:c>
      <x:c r="D16" s="42" t="n">
        <x:f>B16-C16</x:f>
        <x:v>2491666.6666666665</x:v>
      </x:c>
      <x:c r="E16" s="42" t="n">
        <x:f>B16*'Varsayımlar'!$B$8</x:f>
        <x:v>149500</x:v>
      </x:c>
      <x:c r="F16" s="42" t="n">
        <x:f>D16-E16</x:f>
        <x:v>2342166.6666666665</x:v>
      </x:c>
      <x:c r="G16" s="42" t="n">
        <x:f>A16*'Varsayımlar'!$B$9</x:f>
        <x:v>200000</x:v>
      </x:c>
      <x:c r="H16" s="42" t="n">
        <x:f>F16-G16</x:f>
        <x:v>2142166.6666666665</x:v>
      </x:c>
      <x:c r="I16" s="42" t="n">
        <x:f>'Varsayımlar'!$B$10</x:f>
        <x:v>250000</x:v>
      </x:c>
      <x:c r="J16" s="42" t="n">
        <x:f>H16-I16</x:f>
        <x:v>1892166.6666666665</x:v>
      </x:c>
      <x:c r="K16" s="42" t="n">
        <x:f>B16*'Varsayımlar'!$B$11</x:f>
        <x:v>35880000</x:v>
      </x:c>
      <x:c r="L16" s="42" t="n">
        <x:f>F16*'Varsayımlar'!$B$11</x:f>
        <x:v>28106000</x:v>
      </x:c>
      <x:c r="M16" s="42" t="n">
        <x:f>J16*'Varsayımlar'!$B$11</x:f>
        <x:v>22706000</x:v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30" customHeight="1">
      <x:c r="A18" s="30" t="str">
        <x:v>Not: İşletme sonucu = net satış geliri − değişken maliyet − sabit gider. Finansman, kurumlar vergisi ve yatırım harcamaları kapsam dışıdır.</x:v>
      </x:c>
      <x:c r="B18" s="30" t="str">
        <x:v>Not: İşletme sonucu = net satış geliri − değişken maliyet − sabit gider. Finansman, kurumlar vergisi ve yatırım harcamaları kapsam dışıdır.</x:v>
      </x:c>
      <x:c r="C18" s="30" t="str">
        <x:v>Not: İşletme sonucu = net satış geliri − değişken maliyet − sabit gider. Finansman, kurumlar vergisi ve yatırım harcamaları kapsam dışıdır.</x:v>
      </x:c>
      <x:c r="D18" s="30" t="str">
        <x:v>Not: İşletme sonucu = net satış geliri − değişken maliyet − sabit gider. Finansman, kurumlar vergisi ve yatırım harcamaları kapsam dışıdır.</x:v>
      </x:c>
      <x:c r="E18" s="30" t="str">
        <x:v>Not: İşletme sonucu = net satış geliri − değişken maliyet − sabit gider. Finansman, kurumlar vergisi ve yatırım harcamaları kapsam dışıdır.</x:v>
      </x:c>
      <x:c r="F18" s="30" t="str">
        <x:v>Not: İşletme sonucu = net satış geliri − değişken maliyet − sabit gider. Finansman, kurumlar vergisi ve yatırım harcamaları kapsam dışıdır.</x:v>
      </x:c>
      <x:c r="G18" s="30" t="str">
        <x:v>Not: İşletme sonucu = net satış geliri − değişken maliyet − sabit gider. Finansman, kurumlar vergisi ve yatırım harcamaları kapsam dışıdır.</x:v>
      </x:c>
      <x:c r="H18" s="30" t="str">
        <x:v>Not: İşletme sonucu = net satış geliri − değişken maliyet − sabit gider. Finansman, kurumlar vergisi ve yatırım harcamaları kapsam dışıdır.</x:v>
      </x:c>
      <x:c r="I18" s="30" t="str">
        <x:v>Not: İşletme sonucu = net satış geliri − değişken maliyet − sabit gider. Finansman, kurumlar vergisi ve yatırım harcamaları kapsam dışıdır.</x:v>
      </x:c>
      <x:c r="J18" s="30" t="str">
        <x:v>Not: İşletme sonucu = net satış geliri − değişken maliyet − sabit gider. Finansman, kurumlar vergisi ve yatırım harcamaları kapsam dışıdır.</x:v>
      </x:c>
      <x:c r="K18" s="30" t="str">
        <x:v>Not: İşletme sonucu = net satış geliri − değişken maliyet − sabit gider. Finansman, kurumlar vergisi ve yatırım harcamaları kapsam dışıdır.</x:v>
      </x:c>
      <x:c r="L18" s="30" t="str">
        <x:v>Not: İşletme sonucu = net satış geliri − değişken maliyet − sabit gider. Finansman, kurumlar vergisi ve yatırım harcamaları kapsam dışıdır.</x:v>
      </x:c>
      <x:c r="M18" s="30" t="str">
        <x:v>Not: İşletme sonucu = net satış geliri − değişken maliyet − sabit gider. Finansman, kurumlar vergisi ve yatırım harcamaları kapsam dışıdır.</x:v>
      </x:c>
    </x:row>
  </x:sheetData>
  <x:mergeCells>
    <x:mergeCell ref="A1:M1"/>
    <x:mergeCell ref="A2:M2"/>
    <x:mergeCell ref="A4:M4"/>
    <x:mergeCell ref="A18:M18"/>
  </x:mergeCells>
  <x:conditionalFormatting sqref="J7:J16">
    <x:cfRule type="cellIs" dxfId="0" priority="1" operator="lessThan">
      <x:formula>0</x:formula>
    </x:cfRule>
    <x:cfRule type="cellIs" dxfId="1" priority="2" operator="greaterThanOrEqual">
      <x:formula>0</x:formula>
    </x:cfRule>
  </x:conditionalFormatting>
  <x:conditionalFormatting sqref="M7:M16">
    <x:cfRule type="cellIs" dxfId="2" priority="3" operator="lessThan">
      <x:formula>0</x:formula>
    </x:cfRule>
    <x:cfRule type="cellIs" dxfId="3" priority="4" operator="greaterThanOr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9" hidden="0" customWidth="1"/>
  </x:cols>
  <x:sheetData>
    <x:row r="1" ht="34" customHeight="1">
      <x:c r="A1" s="4" t="str">
        <x:v>Model Kontrolleri</x:v>
      </x:c>
      <x:c r="B1" s="4" t="str">
        <x:v>Model Kontrolleri</x:v>
      </x:c>
      <x:c r="C1" s="4" t="str">
        <x:v>Model Kontrolleri</x:v>
      </x:c>
      <x:c r="D1" s="4" t="str">
        <x:v>Model Kontrolleri</x:v>
      </x:c>
      <x:c r="E1" s="4" t="str">
        <x:v>Model Kontrolleri</x:v>
      </x:c>
      <x:c r="F1" s="4" t="str">
        <x:v>Model Kontrolleri</x:v>
      </x:c>
      <x:c r="G1" s="4" t="str">
        <x:v>Model Kontrolleri</x:v>
      </x:c>
    </x:row>
    <x:row r="2" ht="22" customHeight="1">
      <x:c r="A2" s="5" t="str">
        <x:v>Kaba taslak modelin temel tutarlılık ve giriş kontrolleri</x:v>
      </x:c>
      <x:c r="B2" s="5" t="str">
        <x:v>Kaba taslak modelin temel tutarlılık ve giriş kontrolleri</x:v>
      </x:c>
      <x:c r="C2" s="5" t="str">
        <x:v>Kaba taslak modelin temel tutarlılık ve giriş kontrolleri</x:v>
      </x:c>
      <x:c r="D2" s="5" t="str">
        <x:v>Kaba taslak modelin temel tutarlılık ve giriş kontrolleri</x:v>
      </x:c>
      <x:c r="E2" s="5" t="str">
        <x:v>Kaba taslak modelin temel tutarlılık ve giriş kontrolleri</x:v>
      </x:c>
      <x:c r="F2" s="5" t="str">
        <x:v>Kaba taslak modelin temel tutarlılık ve giriş kontrolleri</x:v>
      </x:c>
      <x:c r="G2" s="5" t="str">
        <x:v>Kaba taslak modelin temel tutarlılık ve giriş kontrolleri</x:v>
      </x:c>
    </x:row>
    <x:row r="3">
      <x:c r="A3" s="2"/>
      <x:c r="B3" s="2"/>
      <x:c r="C3" s="2"/>
      <x:c r="D3" s="2"/>
      <x:c r="E3" s="2"/>
      <x:c r="F3" s="2"/>
      <x:c r="G3" s="2"/>
    </x:row>
    <x:row r="4">
      <x:c r="A4" s="7" t="str">
        <x:v>Kontrol özeti</x:v>
      </x:c>
      <x:c r="B4" s="7" t="str">
        <x:v>Kontrol özeti</x:v>
      </x:c>
      <x:c r="C4" s="7" t="str">
        <x:v>Kontrol özeti</x:v>
      </x:c>
      <x:c r="D4" s="7" t="str">
        <x:v>Kontrol özeti</x:v>
      </x:c>
      <x:c r="E4" s="7" t="str">
        <x:v>Kontrol özeti</x:v>
      </x:c>
      <x:c r="F4" s="7" t="str">
        <x:v>Kontrol özeti</x:v>
      </x:c>
      <x:c r="G4" s="7" t="str">
        <x:v>Kontrol özeti</x:v>
      </x:c>
    </x:row>
    <x:row r="5">
      <x:c r="A5" s="32" t="str">
        <x:v>Kontrol</x:v>
      </x:c>
      <x:c r="B5" s="32" t="str">
        <x:v>Gerçek</x:v>
      </x:c>
      <x:c r="C5" s="32" t="str">
        <x:v>Beklenen</x:v>
      </x:c>
      <x:c r="D5" s="32" t="str">
        <x:v>Fark</x:v>
      </x:c>
      <x:c r="E5" s="32" t="str">
        <x:v>Tolerans</x:v>
      </x:c>
      <x:c r="F5" s="32" t="str">
        <x:v>Durum</x:v>
      </x:c>
      <x:c r="G5" s="32" t="str">
        <x:v>Düzeltme / not</x:v>
      </x:c>
    </x:row>
    <x:row r="6">
      <x:c r="A6" s="17" t="str">
        <x:v>Üyelik fiyatı pozitif</x:v>
      </x:c>
      <x:c r="B6" s="34" t="n">
        <x:f>IF('Varsayımlar'!B6&gt;0,1,0)</x:f>
        <x:v>1</x:v>
      </x:c>
      <x:c r="C6" s="34" t="n">
        <x:v>1</x:v>
      </x:c>
      <x:c r="D6" s="34" t="n">
        <x:f>B6-C6</x:f>
        <x:v>0</x:v>
      </x:c>
      <x:c r="E6" s="34" t="n">
        <x:v>0</x:v>
      </x:c>
      <x:c r="F6" s="34" t="str">
        <x:f>IF(ABS(D6)&lt;=E6,"OK","HATA")</x:f>
        <x:v>OK</x:v>
      </x:c>
      <x:c r="G6" s="17" t="str">
        <x:v>Varsayımlar!B6</x:v>
      </x:c>
    </x:row>
    <x:row r="7">
      <x:c r="A7" s="19" t="str">
        <x:v>KDV oranı 0–100% aralığında</x:v>
      </x:c>
      <x:c r="B7" s="27" t="n">
        <x:f>IF(AND('Varsayımlar'!B7&gt;=0,'Varsayımlar'!B7&lt;1),1,0)</x:f>
        <x:v>1</x:v>
      </x:c>
      <x:c r="C7" s="27" t="n">
        <x:v>1</x:v>
      </x:c>
      <x:c r="D7" s="27" t="n">
        <x:f>B7-C7</x:f>
        <x:v>0</x:v>
      </x:c>
      <x:c r="E7" s="27" t="n">
        <x:v>0</x:v>
      </x:c>
      <x:c r="F7" s="27" t="str">
        <x:f>IF(ABS(D7)&lt;=E7,"OK","HATA")</x:f>
        <x:v>OK</x:v>
      </x:c>
      <x:c r="G7" s="19" t="str">
        <x:v>Varsayımlar!B7</x:v>
      </x:c>
    </x:row>
    <x:row r="8">
      <x:c r="A8" s="19" t="str">
        <x:v>Komisyon oranı 0–100% aralığında</x:v>
      </x:c>
      <x:c r="B8" s="27" t="n">
        <x:f>IF(AND('Varsayımlar'!B8&gt;=0,'Varsayımlar'!B8&lt;1),1,0)</x:f>
        <x:v>1</x:v>
      </x:c>
      <x:c r="C8" s="27" t="n">
        <x:v>1</x:v>
      </x:c>
      <x:c r="D8" s="27" t="n">
        <x:f>B8-C8</x:f>
        <x:v>0</x:v>
      </x:c>
      <x:c r="E8" s="27" t="n">
        <x:v>0</x:v>
      </x:c>
      <x:c r="F8" s="27" t="str">
        <x:f>IF(ABS(D8)&lt;=E8,"OK","HATA")</x:f>
        <x:v>OK</x:v>
      </x:c>
      <x:c r="G8" s="19" t="str">
        <x:v>Varsayımlar!B8</x:v>
      </x:c>
    </x:row>
    <x:row r="9">
      <x:c r="A9" s="19" t="str">
        <x:v>Kullanıcı başı katkı payı pozitif</x:v>
      </x:c>
      <x:c r="B9" s="27" t="n">
        <x:f>IF('Varsayımlar'!B17&gt;0,1,0)</x:f>
        <x:v>1</x:v>
      </x:c>
      <x:c r="C9" s="27" t="n">
        <x:v>1</x:v>
      </x:c>
      <x:c r="D9" s="27" t="n">
        <x:f>B9-C9</x:f>
        <x:v>0</x:v>
      </x:c>
      <x:c r="E9" s="27" t="n">
        <x:v>0</x:v>
      </x:c>
      <x:c r="F9" s="27" t="str">
        <x:f>IF(ABS(D9)&lt;=E9,"OK","HATA")</x:f>
        <x:v>OK</x:v>
      </x:c>
      <x:c r="G9" s="19" t="str">
        <x:v>Varsayımlar!B17</x:v>
      </x:c>
    </x:row>
    <x:row r="10">
      <x:c r="A10" s="19" t="str">
        <x:v>10.000 üye brüt ciro = 10 × 1.000</x:v>
      </x:c>
      <x:c r="B10" s="26" t="n">
        <x:f>'Gelir Tablosu'!B16</x:f>
        <x:v>2990000</x:v>
      </x:c>
      <x:c r="C10" s="26" t="n">
        <x:f>'Gelir Tablosu'!B7*10</x:f>
        <x:v>2990000</x:v>
      </x:c>
      <x:c r="D10" s="26" t="n">
        <x:f>B10-C10</x:f>
        <x:v>0</x:v>
      </x:c>
      <x:c r="E10" s="26" t="n">
        <x:v>0.01</x:v>
      </x:c>
      <x:c r="F10" s="27" t="str">
        <x:f>IF(ABS(D10)&lt;=E10,"OK","HATA")</x:f>
        <x:v>OK</x:v>
      </x:c>
      <x:c r="G10" s="19" t="str">
        <x:v>Gelir Tablosu!B7 ve B16</x:v>
      </x:c>
    </x:row>
    <x:row r="11">
      <x:c r="A11" s="53" t="str">
        <x:v>Yıllık net satış = 12 × aylık net satış</x:v>
      </x:c>
      <x:c r="B11" s="36" t="n">
        <x:f>'Gelir Tablosu'!L16</x:f>
        <x:v>28106000</x:v>
      </x:c>
      <x:c r="C11" s="36" t="n">
        <x:f>'Gelir Tablosu'!F16*'Varsayımlar'!B11</x:f>
        <x:v>28106000</x:v>
      </x:c>
      <x:c r="D11" s="36" t="n">
        <x:f>B11-C11</x:f>
        <x:v>0</x:v>
      </x:c>
      <x:c r="E11" s="36" t="n">
        <x:v>0.01</x:v>
      </x:c>
      <x:c r="F11" s="35" t="str">
        <x:f>IF(ABS(D11)&lt;=E11,"OK","HATA")</x:f>
        <x:v>OK</x:v>
      </x:c>
      <x:c r="G11" s="53" t="str">
        <x:v>Gelir Tablosu!F16 ve L16</x:v>
      </x:c>
    </x:row>
    <x:row r="12">
      <x:c r="A12" s="2"/>
      <x:c r="B12" s="2"/>
      <x:c r="C12" s="2"/>
      <x:c r="D12" s="2"/>
      <x:c r="E12" s="2"/>
      <x:c r="F12" s="2"/>
      <x:c r="G12" s="2"/>
    </x:row>
    <x:row r="13">
      <x:c r="A13" s="54" t="str">
        <x:v>MODEL DURUMU</x:v>
      </x:c>
      <x:c r="B13" s="54" t="str">
        <x:v>MODEL DURUMU</x:v>
      </x:c>
      <x:c r="C13" s="54" t="str">
        <x:v>MODEL DURUMU</x:v>
      </x:c>
      <x:c r="D13" s="54" t="str">
        <x:v>MODEL DURUMU</x:v>
      </x:c>
      <x:c r="E13" s="54" t="str">
        <x:v>MODEL DURUMU</x:v>
      </x:c>
      <x:c r="F13" s="56" t="str">
        <x:f>IF(COUNTIF(F6:F11,"HATA")=0,"PASS","FAIL")</x:f>
        <x:v>PASS</x:v>
      </x:c>
      <x:c r="G13" s="56"/>
    </x:row>
    <x:row r="14">
      <x:c r="A14" s="2"/>
      <x:c r="B14" s="2"/>
      <x:c r="C14" s="2"/>
      <x:c r="D14" s="2"/>
      <x:c r="E14" s="2"/>
      <x:c r="F14" s="2"/>
      <x:c r="G14" s="2"/>
    </x:row>
    <x:row r="15">
      <x:c r="A15" s="2"/>
      <x:c r="B15" s="2"/>
      <x:c r="C15" s="2"/>
      <x:c r="D15" s="2"/>
      <x:c r="E15" s="2"/>
      <x:c r="F15" s="2"/>
      <x:c r="G15" s="2"/>
    </x:row>
  </x:sheetData>
  <x:mergeCells>
    <x:mergeCell ref="A1:G1"/>
    <x:mergeCell ref="A2:G2"/>
    <x:mergeCell ref="A4:G4"/>
    <x:mergeCell ref="A13:E13"/>
    <x:mergeCell ref="F13:G13"/>
  </x:mergeCells>
  <x:conditionalFormatting sqref="F6:F11">
    <x:cfRule type="containsText" dxfId="4" priority="1" operator="containsText" text="OK"/>
    <x:cfRule type="containsText" dxfId="5" priority="2" operator="containsText" text="HATA"/>
  </x:conditionalFormatting>
  <x:conditionalFormatting sqref="F13:G13">
    <x:cfRule type="containsText" dxfId="6" priority="3" operator="containsText" text="PASS"/>
    <x:cfRule type="containsText" dxfId="7" priority="4" operator="containsText" text="FAIL"/>
  </x:conditionalFormatting>
  <x:pageMargins left="0.7" right="0.7" top="0.75" bottom="0.75" header="0.3" footer="0.3"/>
</x:worksheet>
</file>